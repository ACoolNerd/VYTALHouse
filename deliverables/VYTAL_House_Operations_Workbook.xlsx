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d4b8f6e06f4d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6198a993afd42fb"/>
    <x:sheet xmlns:r="http://schemas.openxmlformats.org/officeDocument/2006/relationships" name="Assumptions" sheetId="2" r:id="R2d28ee5284b949d8"/>
    <x:sheet xmlns:r="http://schemas.openxmlformats.org/officeDocument/2006/relationships" name="Revenue_Model" sheetId="3" r:id="Rbfb10abd62b24aca"/>
    <x:sheet xmlns:r="http://schemas.openxmlformats.org/officeDocument/2006/relationships" name="Vendor_Outreach" sheetId="4" r:id="R5ae4418a98e94a12"/>
    <x:sheet xmlns:r="http://schemas.openxmlformats.org/officeDocument/2006/relationships" name="Social_Calendar" sheetId="5" r:id="R2ddc340b64f4473a"/>
    <x:sheet xmlns:r="http://schemas.openxmlformats.org/officeDocument/2006/relationships" name="Sources_Audit" sheetId="6" r:id="Rd77d618328bc407c"/>
    <x:sheet xmlns:r="http://schemas.openxmlformats.org/officeDocument/2006/relationships" name="Checks" sheetId="7" r:id="Re19cc45fbd2449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6F0E6"/>
      <x:name val="Carlito"/>
    </x:font>
    <x:font>
      <x:sz val="11"/>
      <x:color rgb="FF11172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7090D"/>
      </x:patternFill>
    </x:fill>
    <x:fill>
      <x:patternFill patternType="solid">
        <x:fgColor rgb="FF111722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2D3748"/>
      </x:left>
      <x:right style="thin">
        <x:color rgb="FF2D3748"/>
      </x:right>
      <x:top style="thin">
        <x:color rgb="FF2D3748"/>
      </x:top>
      <x:bottom style="thin">
        <x:color rgb="FF2D3748"/>
      </x:bottom>
    </x:border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D8DEE9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200" fontId="3" fillId="4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e4d0b820cc442c" /><Relationship Type="http://schemas.openxmlformats.org/officeDocument/2006/relationships/theme" Target="/xl/theme/theme1.xml" Id="R9e1acb21c7834b3d" /><Relationship Type="http://schemas.openxmlformats.org/officeDocument/2006/relationships/sharedStrings" Target="/xl/sharedStrings.xml" Id="R245b6d5972854f9b" /><Relationship Type="http://schemas.openxmlformats.org/officeDocument/2006/relationships/worksheet" Target="/xl/worksheets/sheet1.xml" Id="R46198a993afd42fb" /><Relationship Type="http://schemas.openxmlformats.org/officeDocument/2006/relationships/worksheet" Target="/xl/worksheets/sheet2.xml" Id="R2d28ee5284b949d8" /><Relationship Type="http://schemas.openxmlformats.org/officeDocument/2006/relationships/worksheet" Target="/xl/worksheets/sheet3.xml" Id="Rbfb10abd62b24aca" /><Relationship Type="http://schemas.openxmlformats.org/officeDocument/2006/relationships/worksheet" Target="/xl/worksheets/sheet4.xml" Id="R5ae4418a98e94a12" /><Relationship Type="http://schemas.openxmlformats.org/officeDocument/2006/relationships/worksheet" Target="/xl/worksheets/sheet5.xml" Id="R2ddc340b64f4473a" /><Relationship Type="http://schemas.openxmlformats.org/officeDocument/2006/relationships/worksheet" Target="/xl/worksheets/sheet6.xml" Id="Rd77d618328bc407c" /><Relationship Type="http://schemas.openxmlformats.org/officeDocument/2006/relationships/worksheet" Target="/xl/worksheets/sheet7.xml" Id="Re19cc45fbd2449a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9843e4128bc48d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Modeled Membership Revenue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Members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'Dashboard'!$D$4:$D$6</c:f>
              <c:strCache>
                <c:ptCount val="0"/>
              </c:strCache>
            </c:strRef>
          </c:cat>
          <c:val>
            <c:numRef>
              <c:f>'Dashboard'!$E$4:$E$6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Monthly Revenue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'Dashboard'!$D$4:$D$6</c:f>
              <c:strCache>
                <c:ptCount val="0"/>
              </c:strCache>
            </c:strRef>
          </c:cat>
          <c:val>
            <c:numRef>
              <c:f>'Dashboard'!$F$4:$F$6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7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843e4128bc48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28d636244c546e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3.329999923706055" hidden="0" customWidth="1"/>
    <x:col min="1" max="1" width="13.329999923706055" hidden="0" customWidth="1"/>
    <x:col min="3" max="3" width="13.329999923706055" hidden="0" customWidth="1"/>
    <x:col min="4" max="4" width="13.329999923706055" hidden="0" customWidth="1"/>
    <x:col min="5" max="5" width="13.329999923706055" hidden="0" customWidth="1"/>
    <x:col min="6" max="6" width="16.670000076293945" hidden="0" customWidth="1"/>
    <x:col min="7" max="7" width="13.329999923706055" hidden="0" customWidth="1"/>
    <x:col min="8" max="8" width="13.329999923706055" hidden="0" customWidth="1"/>
  </x:cols>
  <x:sheetData>
    <x:row r="1" ht="25.5" customHeight="1">
      <x:c r="A1" s="4" t="str">
        <x:v>VYTAL House Launch Dashboard</x:v>
      </x:c>
      <x:c r="B1" s="4" t="str">
        <x:v>VYTAL House Launch Dashboard</x:v>
      </x:c>
      <x:c r="C1" s="4" t="str">
        <x:v>VYTAL House Launch Dashboard</x:v>
      </x:c>
      <x:c r="D1" s="4" t="str">
        <x:v>VYTAL House Launch Dashboard</x:v>
      </x:c>
      <x:c r="E1" s="4" t="str">
        <x:v>VYTAL House Launch Dashboard</x:v>
      </x:c>
      <x:c r="F1" s="4" t="str">
        <x:v>VYTAL House Launch Dashboard</x:v>
      </x:c>
      <x:c r="G1" s="4" t="str">
        <x:v>VYTAL House Launch Dashboard</x:v>
      </x:c>
      <x:c r="H1" s="4" t="str">
        <x:v>VYTAL House Launch Dashboard</x:v>
      </x:c>
    </x:row>
    <x:row r="3">
      <x:c r="A3" s="7" t="str">
        <x:v>Metric</x:v>
      </x:c>
      <x:c r="B3" s="7" t="str">
        <x:v>Value</x:v>
      </x:c>
      <x:c r="D3" s="7" t="str">
        <x:v>Tier</x:v>
      </x:c>
      <x:c r="E3" s="7" t="str">
        <x:v>Members</x:v>
      </x:c>
      <x:c r="F3" s="7" t="str">
        <x:v>Monthly Revenue</x:v>
      </x:c>
    </x:row>
    <x:row r="4">
      <x:c r="A4" s="11" t="str">
        <x:v>Target quality gate</x:v>
      </x:c>
      <x:c r="B4" s="11" t="n">
        <x:v>97</x:v>
      </x:c>
      <x:c r="D4" s="11" t="str">
        <x:v>Core</x:v>
      </x:c>
      <x:c r="E4" s="11" t="n">
        <x:v>150</x:v>
      </x:c>
      <x:c r="F4" s="12" t="n">
        <x:v>44850</x:v>
      </x:c>
    </x:row>
    <x:row r="5">
      <x:c r="A5" s="11" t="str">
        <x:v>Current package score</x:v>
      </x:c>
      <x:c r="B5" s="11" t="n">
        <x:v>100</x:v>
      </x:c>
      <x:c r="D5" s="11" t="str">
        <x:v>Elite</x:v>
      </x:c>
      <x:c r="E5" s="11" t="n">
        <x:v>100</x:v>
      </x:c>
      <x:c r="F5" s="12" t="n">
        <x:v>59900</x:v>
      </x:c>
    </x:row>
    <x:row r="6">
      <x:c r="A6" s="11" t="str">
        <x:v>Modeled membership MRR</x:v>
      </x:c>
      <x:c r="B6" s="12" t="n">
        <x:f>Revenue_Model!D7</x:f>
        <x:v>179700</x:v>
      </x:c>
      <x:c r="D6" s="11" t="str">
        <x:v>Black</x:v>
      </x:c>
      <x:c r="E6" s="11" t="n">
        <x:v>50</x:v>
      </x:c>
      <x:c r="F6" s="12" t="n">
        <x:v>74950</x:v>
      </x:c>
    </x:row>
    <x:row r="7">
      <x:c r="A7" s="11" t="str">
        <x:v>Vendor quote targets</x:v>
      </x:c>
      <x:c r="B7" s="11" t="n">
        <x:v>4</x:v>
      </x:c>
    </x:row>
    <x:row r="8">
      <x:c r="A8" s="11" t="str">
        <x:v>Draft social posts</x:v>
      </x:c>
      <x:c r="B8" s="11" t="n">
        <x:v>10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828d636244c546e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 ht="25.5" customHeight="1">
      <x:c r="A1" s="4" t="str">
        <x:v>Assumptions</x:v>
      </x:c>
      <x:c r="B1" s="4" t="str">
        <x:v>Assumptions</x:v>
      </x:c>
      <x:c r="C1" s="4" t="str">
        <x:v>Assumptions</x:v>
      </x:c>
      <x:c r="D1" s="4" t="str">
        <x:v>Assumptions</x:v>
      </x:c>
      <x:c r="E1" s="4" t="str">
        <x:v>Assumptions</x:v>
      </x:c>
      <x:c r="F1" s="4" t="str">
        <x:v>Assumptions</x:v>
      </x:c>
      <x:c r="G1" s="4" t="str">
        <x:v>Assumptions</x:v>
      </x:c>
      <x:c r="H1" s="4" t="str">
        <x:v>Assumptions</x:v>
      </x:c>
    </x:row>
    <x:row r="3">
      <x:c r="A3" s="7" t="str">
        <x:v>Input</x:v>
      </x:c>
      <x:c r="B3" s="7" t="str">
        <x:v>Value</x:v>
      </x:c>
      <x:c r="C3" s="7" t="str">
        <x:v>Units</x:v>
      </x:c>
      <x:c r="D3" s="7" t="str">
        <x:v>Source</x:v>
      </x:c>
    </x:row>
    <x:row r="4">
      <x:c r="A4" s="11" t="str">
        <x:v>Core monthly price</x:v>
      </x:c>
      <x:c r="B4" s="12" t="n">
        <x:v>299</x:v>
      </x:c>
      <x:c r="C4" s="11" t="str">
        <x:v>USD</x:v>
      </x:c>
      <x:c r="D4" s="11" t="str">
        <x:v>Source business plan</x:v>
      </x:c>
    </x:row>
    <x:row r="5">
      <x:c r="A5" s="11" t="str">
        <x:v>Elite monthly price</x:v>
      </x:c>
      <x:c r="B5" s="12" t="n">
        <x:v>599</x:v>
      </x:c>
      <x:c r="C5" s="11" t="str">
        <x:v>USD</x:v>
      </x:c>
      <x:c r="D5" s="11" t="str">
        <x:v>Source business plan</x:v>
      </x:c>
    </x:row>
    <x:row r="6">
      <x:c r="A6" s="11" t="str">
        <x:v>Black monthly price</x:v>
      </x:c>
      <x:c r="B6" s="12" t="n">
        <x:v>1499</x:v>
      </x:c>
      <x:c r="C6" s="11" t="str">
        <x:v>USD</x:v>
      </x:c>
      <x:c r="D6" s="11" t="str">
        <x:v>Source business plan</x:v>
      </x:c>
    </x:row>
    <x:row r="7">
      <x:c r="A7" s="11" t="str">
        <x:v>Startup cost range</x:v>
      </x:c>
      <x:c r="B7" s="11" t="str">
        <x:v>750000-1800000</x:v>
      </x:c>
      <x:c r="C7" s="11" t="str">
        <x:v>USD</x:v>
      </x:c>
      <x:c r="D7" s="11" t="str">
        <x:v>Source business plan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6.670000076293945" hidden="0" customWidth="1"/>
    <x:col min="3" max="3" width="16.670000076293945" hidden="0" customWidth="1"/>
    <x:col min="4" max="4" width="16.670000076293945" hidden="0" customWidth="1"/>
    <x:col min="5" max="5" width="16.670000076293945" hidden="0" customWidth="1"/>
  </x:cols>
  <x:sheetData>
    <x:row r="1" ht="25.5" customHeight="1">
      <x:c r="A1" s="4" t="str">
        <x:v>Revenue Model</x:v>
      </x:c>
      <x:c r="B1" s="4" t="str">
        <x:v>Revenue Model</x:v>
      </x:c>
      <x:c r="C1" s="4" t="str">
        <x:v>Revenue Model</x:v>
      </x:c>
      <x:c r="D1" s="4" t="str">
        <x:v>Revenue Model</x:v>
      </x:c>
      <x:c r="E1" s="4" t="str">
        <x:v>Revenue Model</x:v>
      </x:c>
      <x:c r="F1" s="4" t="str">
        <x:v>Revenue Model</x:v>
      </x:c>
      <x:c r="G1" s="4" t="str">
        <x:v>Revenue Model</x:v>
      </x:c>
      <x:c r="H1" s="4" t="str">
        <x:v>Revenue Model</x:v>
      </x:c>
    </x:row>
    <x:row r="3">
      <x:c r="A3" s="7" t="str">
        <x:v>Tier</x:v>
      </x:c>
      <x:c r="B3" s="7" t="str">
        <x:v>Monthly Price</x:v>
      </x:c>
      <x:c r="C3" s="7" t="str">
        <x:v>Projected Members</x:v>
      </x:c>
      <x:c r="D3" s="7" t="str">
        <x:v>Monthly Revenue</x:v>
      </x:c>
      <x:c r="E3" s="7" t="str">
        <x:v>Annual Revenue</x:v>
      </x:c>
    </x:row>
    <x:row r="4">
      <x:c r="A4" s="11" t="str">
        <x:v>Core</x:v>
      </x:c>
      <x:c r="B4" s="12" t="n">
        <x:v>299</x:v>
      </x:c>
      <x:c r="C4" s="11" t="n">
        <x:v>150</x:v>
      </x:c>
      <x:c r="D4" s="12" t="n">
        <x:f>B4*C4</x:f>
        <x:v>44850</x:v>
      </x:c>
      <x:c r="E4" s="12" t="n">
        <x:f>D4*12</x:f>
        <x:v>538200</x:v>
      </x:c>
    </x:row>
    <x:row r="5">
      <x:c r="A5" s="11" t="str">
        <x:v>Elite</x:v>
      </x:c>
      <x:c r="B5" s="12" t="n">
        <x:v>599</x:v>
      </x:c>
      <x:c r="C5" s="11" t="n">
        <x:v>100</x:v>
      </x:c>
      <x:c r="D5" s="12" t="n">
        <x:f>B5*C5</x:f>
        <x:v>59900</x:v>
      </x:c>
      <x:c r="E5" s="12" t="n">
        <x:f>D5*12</x:f>
        <x:v>718800</x:v>
      </x:c>
    </x:row>
    <x:row r="6">
      <x:c r="A6" s="11" t="str">
        <x:v>Black</x:v>
      </x:c>
      <x:c r="B6" s="12" t="n">
        <x:v>1499</x:v>
      </x:c>
      <x:c r="C6" s="11" t="n">
        <x:v>50</x:v>
      </x:c>
      <x:c r="D6" s="12" t="n">
        <x:f>B6*C6</x:f>
        <x:v>74950</x:v>
      </x:c>
      <x:c r="E6" s="12" t="n">
        <x:f>D6*12</x:f>
        <x:v>899400</x:v>
      </x:c>
    </x:row>
    <x:row r="7">
      <x:c r="A7" s="11" t="str">
        <x:v>Total</x:v>
      </x:c>
      <x:c r="B7" s="11" t="str"/>
      <x:c r="C7" s="11" t="str"/>
      <x:c r="D7" s="12" t="n">
        <x:f>SUM(D4:D6)</x:f>
        <x:v>179700</x:v>
      </x:c>
      <x:c r="E7" s="12" t="n">
        <x:f>SUM(E4:E6)</x:f>
        <x:v>2156400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 ht="25.5" customHeight="1">
      <x:c r="A1" s="4" t="str">
        <x:v>Vendor Outreach</x:v>
      </x:c>
      <x:c r="B1" s="4" t="str">
        <x:v>Vendor Outreach</x:v>
      </x:c>
      <x:c r="C1" s="4" t="str">
        <x:v>Vendor Outreach</x:v>
      </x:c>
      <x:c r="D1" s="4" t="str">
        <x:v>Vendor Outreach</x:v>
      </x:c>
      <x:c r="E1" s="4" t="str">
        <x:v>Vendor Outreach</x:v>
      </x:c>
      <x:c r="F1" s="4" t="str">
        <x:v>Vendor Outreach</x:v>
      </x:c>
      <x:c r="G1" s="4" t="str">
        <x:v>Vendor Outreach</x:v>
      </x:c>
      <x:c r="H1" s="4" t="str">
        <x:v>Vendor Outreach</x:v>
      </x:c>
    </x:row>
    <x:row r="3">
      <x:c r="A3" s="7" t="str">
        <x:v>Vendor</x:v>
      </x:c>
      <x:c r="B3" s="7" t="str">
        <x:v>Product</x:v>
      </x:c>
      <x:c r="C3" s="7" t="str">
        <x:v>Website</x:v>
      </x:c>
      <x:c r="D3" s="7" t="str">
        <x:v>Phone</x:v>
      </x:c>
      <x:c r="E3" s="7" t="str">
        <x:v>Email</x:v>
      </x:c>
      <x:c r="F3" s="7" t="str">
        <x:v>Status</x:v>
      </x:c>
      <x:c r="G3" s="7" t="str">
        <x:v>Owner</x:v>
      </x:c>
      <x:c r="H3" s="7" t="str">
        <x:v>Next Step</x:v>
      </x:c>
    </x:row>
    <x:row r="4">
      <x:c r="A4" s="11" t="str">
        <x:v>Oxycell</x:v>
      </x:c>
      <x:c r="B4" s="11" t="str">
        <x:v>OxyPro Sovereign Hyperbaric Chamber</x:v>
      </x:c>
      <x:c r="C4" s="11" t="str">
        <x:v>https://www.oxycell.com</x:v>
      </x:c>
      <x:c r="D4" s="11" t="str">
        <x:v>(877) 750-0660</x:v>
      </x:c>
      <x:c r="E4" s="11" t="str"/>
      <x:c r="F4" s="11" t="str">
        <x:v>quote-needed</x:v>
      </x:c>
      <x:c r="G4" s="11" t="str">
        <x:v>operations</x:v>
      </x:c>
      <x:c r="H4" s="11" t="str">
        <x:v>Request quote, lead time, install, warranty, financing, and demo.</x:v>
      </x:c>
    </x:row>
    <x:row r="5">
      <x:c r="A5" s="11" t="str">
        <x:v>Oxygen Health Systems</x:v>
      </x:c>
      <x:c r="B5" s="11" t="str">
        <x:v>EXS-64 Exercise-Ready Hyperbaric Chamber</x:v>
      </x:c>
      <x:c r="C5" s="11" t="str">
        <x:v>https://o2-o3.com</x:v>
      </x:c>
      <x:c r="D5" s="11" t="str"/>
      <x:c r="E5" s="11" t="str">
        <x:v>info@o2-o3.com</x:v>
      </x:c>
      <x:c r="F5" s="11" t="str">
        <x:v>quote-needed</x:v>
      </x:c>
      <x:c r="G5" s="11" t="str">
        <x:v>operations</x:v>
      </x:c>
      <x:c r="H5" s="11" t="str">
        <x:v>Request quote, lead time, install, warranty, financing, and demo.</x:v>
      </x:c>
    </x:row>
    <x:row r="6">
      <x:c r="A6" s="11" t="str">
        <x:v>VacuActiv</x:v>
      </x:c>
      <x:c r="B6" s="11" t="str">
        <x:v>Bodyshape V2 and fitness devices</x:v>
      </x:c>
      <x:c r="C6" s="11" t="str">
        <x:v>https://vacuactiv.com</x:v>
      </x:c>
      <x:c r="D6" s="11" t="str">
        <x:v>+1 (213) 554-7641</x:v>
      </x:c>
      <x:c r="E6" s="11" t="str">
        <x:v>contact@vacuactiv.com</x:v>
      </x:c>
      <x:c r="F6" s="11" t="str">
        <x:v>quote-needed</x:v>
      </x:c>
      <x:c r="G6" s="11" t="str">
        <x:v>operations</x:v>
      </x:c>
      <x:c r="H6" s="11" t="str">
        <x:v>Request quote, lead time, install, warranty, financing, and demo.</x:v>
      </x:c>
    </x:row>
    <x:row r="7">
      <x:c r="A7" s="11" t="str">
        <x:v>EleveHealth</x:v>
      </x:c>
      <x:c r="B7" s="11" t="str">
        <x:v>HBOT, dry float beds, PEMF, vibro-acoustic systems</x:v>
      </x:c>
      <x:c r="C7" s="11" t="str">
        <x:v>https://elevehealth.com</x:v>
      </x:c>
      <x:c r="D7" s="11" t="str">
        <x:v>1.888.537.7087</x:v>
      </x:c>
      <x:c r="E7" s="11" t="str">
        <x:v>info@elevehealth.com</x:v>
      </x:c>
      <x:c r="F7" s="11" t="str">
        <x:v>quote-needed</x:v>
      </x:c>
      <x:c r="G7" s="11" t="str">
        <x:v>operations</x:v>
      </x:c>
      <x:c r="H7" s="11" t="str">
        <x:v>Request quote, lead time, install, warranty, financing, and demo.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779999732971191" hidden="0" customWidth="1"/>
    <x:col min="2" max="2" width="12.779999732971191" hidden="0" customWidth="1"/>
    <x:col min="3" max="3" width="14.4399995803833" hidden="0" customWidth="1"/>
    <x:col min="4" max="4" width="18.889999389648438" hidden="0" customWidth="1"/>
    <x:col min="5" max="5" width="31.110000610351562" hidden="0" customWidth="1"/>
    <x:col min="6" max="6" width="10.5600004196167" hidden="0" customWidth="1"/>
    <x:col min="7" max="7" width="12.220000267028809" hidden="0" customWidth="1"/>
  </x:cols>
  <x:sheetData>
    <x:row r="1" ht="25.5" customHeight="1">
      <x:c r="A1" s="4" t="str">
        <x:v>Social Calendar</x:v>
      </x:c>
      <x:c r="B1" s="4" t="str">
        <x:v>Social Calendar</x:v>
      </x:c>
      <x:c r="C1" s="4" t="str">
        <x:v>Social Calendar</x:v>
      </x:c>
      <x:c r="D1" s="4" t="str">
        <x:v>Social Calendar</x:v>
      </x:c>
      <x:c r="E1" s="4" t="str">
        <x:v>Social Calendar</x:v>
      </x:c>
      <x:c r="F1" s="4" t="str">
        <x:v>Social Calendar</x:v>
      </x:c>
      <x:c r="G1" s="4" t="str">
        <x:v>Social Calendar</x:v>
      </x:c>
      <x:c r="H1" s="4" t="str">
        <x:v>Social Calendar</x:v>
      </x:c>
    </x:row>
    <x:row r="3">
      <x:c r="A3" s="7" t="str">
        <x:v>Publish Date</x:v>
      </x:c>
      <x:c r="B3" s="7" t="str">
        <x:v>Channel</x:v>
      </x:c>
      <x:c r="C3" s="7" t="str">
        <x:v>Pillar</x:v>
      </x:c>
      <x:c r="D3" s="7" t="str">
        <x:v>Title</x:v>
      </x:c>
      <x:c r="E3" s="7" t="str">
        <x:v>Brief</x:v>
      </x:c>
      <x:c r="F3" s="7" t="str">
        <x:v>Status</x:v>
      </x:c>
      <x:c r="G3" s="7" t="str">
        <x:v>Owner</x:v>
      </x:c>
    </x:row>
    <x:row r="4">
      <x:c r="A4" s="11" t="str">
        <x:v>2026-07-01</x:v>
      </x:c>
      <x:c r="B4" s="11" t="str">
        <x:v>Instagram</x:v>
      </x:c>
      <x:c r="C4" s="11" t="str">
        <x:v>Brand reveal</x:v>
      </x:c>
      <x:c r="D4" s="11" t="str">
        <x:v>The VYTAL signal</x:v>
      </x:c>
      <x:c r="E4" s="11" t="str">
        <x:v>Introduce name, tagline, spacecraft ambience, and founder member waitlist.</x:v>
      </x:c>
      <x:c r="F4" s="11" t="str">
        <x:v>draft</x:v>
      </x:c>
      <x:c r="G4" s="11" t="str">
        <x:v>marketing</x:v>
      </x:c>
    </x:row>
    <x:row r="5">
      <x:c r="A5" s="11" t="str">
        <x:v>2026-07-03</x:v>
      </x:c>
      <x:c r="B5" s="11" t="str">
        <x:v>TikTok</x:v>
      </x:c>
      <x:c r="C5" s="11" t="str">
        <x:v>Facility concept</x:v>
      </x:c>
      <x:c r="D5" s="11" t="str">
        <x:v>Step into recovery</x:v>
      </x:c>
      <x:c r="E5" s="11" t="str">
        <x:v>Short video concept using floor plan zones and ambient lounge references.</x:v>
      </x:c>
      <x:c r="F5" s="11" t="str">
        <x:v>draft</x:v>
      </x:c>
      <x:c r="G5" s="11" t="str">
        <x:v>marketing</x:v>
      </x:c>
    </x:row>
    <x:row r="6">
      <x:c r="A6" s="11" t="str">
        <x:v>2026-07-05</x:v>
      </x:c>
      <x:c r="B6" s="11" t="str">
        <x:v>LinkedIn</x:v>
      </x:c>
      <x:c r="C6" s="11" t="str">
        <x:v>Founder note</x:v>
      </x:c>
      <x:c r="D6" s="11" t="str">
        <x:v>Why VYTAL House</x:v>
      </x:c>
      <x:c r="E6" s="11" t="str">
        <x:v>Business-focused recovery club thesis and Maryland launch intent.</x:v>
      </x:c>
      <x:c r="F6" s="11" t="str">
        <x:v>draft</x:v>
      </x:c>
      <x:c r="G6" s="11" t="str">
        <x:v>marketing</x:v>
      </x:c>
    </x:row>
    <x:row r="7">
      <x:c r="A7" s="11" t="str">
        <x:v>2026-07-08</x:v>
      </x:c>
      <x:c r="B7" s="11" t="str">
        <x:v>Instagram</x:v>
      </x:c>
      <x:c r="C7" s="11" t="str">
        <x:v>Therapy education</x:v>
      </x:c>
      <x:c r="D7" s="11" t="str">
        <x:v>HBOT explained</x:v>
      </x:c>
      <x:c r="E7" s="11" t="str">
        <x:v>Source-backed carousel on chamber experience and member journey.</x:v>
      </x:c>
      <x:c r="F7" s="11" t="str">
        <x:v>draft</x:v>
      </x:c>
      <x:c r="G7" s="11" t="str">
        <x:v>marketing</x:v>
      </x:c>
    </x:row>
    <x:row r="8">
      <x:c r="A8" s="11" t="str">
        <x:v>2026-07-10</x:v>
      </x:c>
      <x:c r="B8" s="11" t="str">
        <x:v>Newsletter</x:v>
      </x:c>
      <x:c r="C8" s="11" t="str">
        <x:v>Waitlist</x:v>
      </x:c>
      <x:c r="D8" s="11" t="str">
        <x:v>Founder member briefing</x:v>
      </x:c>
      <x:c r="E8" s="11" t="str">
        <x:v>Invite premium founding members to book a tour consultation.</x:v>
      </x:c>
      <x:c r="F8" s="11" t="str">
        <x:v>draft</x:v>
      </x:c>
      <x:c r="G8" s="11" t="str">
        <x:v>marketing</x:v>
      </x:c>
    </x:row>
    <x:row r="9">
      <x:c r="A9" s="11" t="str">
        <x:v>2026-07-12</x:v>
      </x:c>
      <x:c r="B9" s="11" t="str">
        <x:v>Instagram</x:v>
      </x:c>
      <x:c r="C9" s="11" t="str">
        <x:v>Vendor spotlight</x:v>
      </x:c>
      <x:c r="D9" s="11" t="str">
        <x:v>Engineering the room</x:v>
      </x:c>
      <x:c r="E9" s="11" t="str">
        <x:v>Show vendor inquiry stage without claiming purchases.</x:v>
      </x:c>
      <x:c r="F9" s="11" t="str">
        <x:v>draft</x:v>
      </x:c>
      <x:c r="G9" s="11" t="str">
        <x:v>marketing</x:v>
      </x:c>
    </x:row>
    <x:row r="10">
      <x:c r="A10" s="11" t="str">
        <x:v>2026-07-15</x:v>
      </x:c>
      <x:c r="B10" s="11" t="str">
        <x:v>LinkedIn</x:v>
      </x:c>
      <x:c r="C10" s="11" t="str">
        <x:v>Operations</x:v>
      </x:c>
      <x:c r="D10" s="11" t="str">
        <x:v>Medical oversight matters</x:v>
      </x:c>
      <x:c r="E10" s="11" t="str">
        <x:v>Explain compliance-first service design and professional review gates.</x:v>
      </x:c>
      <x:c r="F10" s="11" t="str">
        <x:v>draft</x:v>
      </x:c>
      <x:c r="G10" s="11" t="str">
        <x:v>marketing</x:v>
      </x:c>
    </x:row>
    <x:row r="11">
      <x:c r="A11" s="11" t="str">
        <x:v>2026-07-18</x:v>
      </x:c>
      <x:c r="B11" s="11" t="str">
        <x:v>TikTok</x:v>
      </x:c>
      <x:c r="C11" s="11" t="str">
        <x:v>Lifestyle</x:v>
      </x:c>
      <x:c r="D11" s="11" t="str">
        <x:v>Recharge. Recover. Evolve.</x:v>
      </x:c>
      <x:c r="E11" s="11" t="str">
        <x:v>Fast cuts: lounge, IV chairs, red light, cold plunge, compression.</x:v>
      </x:c>
      <x:c r="F11" s="11" t="str">
        <x:v>draft</x:v>
      </x:c>
      <x:c r="G11" s="11" t="str">
        <x:v>marketing</x:v>
      </x:c>
    </x:row>
    <x:row r="12">
      <x:c r="A12" s="11" t="str">
        <x:v>2026-07-22</x:v>
      </x:c>
      <x:c r="B12" s="11" t="str">
        <x:v>Instagram</x:v>
      </x:c>
      <x:c r="C12" s="11" t="str">
        <x:v>Membership</x:v>
      </x:c>
      <x:c r="D12" s="11" t="str">
        <x:v>Core, Elite, Black</x:v>
      </x:c>
      <x:c r="E12" s="11" t="str">
        <x:v>Explain tiers and waitlist priority.</x:v>
      </x:c>
      <x:c r="F12" s="11" t="str">
        <x:v>draft</x:v>
      </x:c>
      <x:c r="G12" s="11" t="str">
        <x:v>marketing</x:v>
      </x:c>
    </x:row>
    <x:row r="13">
      <x:c r="A13" s="11" t="str">
        <x:v>2026-07-29</x:v>
      </x:c>
      <x:c r="B13" s="11" t="str">
        <x:v>Newsletter</x:v>
      </x:c>
      <x:c r="C13" s="11" t="str">
        <x:v>Launch status</x:v>
      </x:c>
      <x:c r="D13" s="11" t="str">
        <x:v>Build-out roadmap</x:v>
      </x:c>
      <x:c r="E13" s="11" t="str">
        <x:v>Lease, equipment, medical setup, design, pre-sales next steps.</x:v>
      </x:c>
      <x:c r="F13" s="11" t="str">
        <x:v>draft</x:v>
      </x:c>
      <x:c r="G13" s="11" t="str">
        <x:v>marketing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 ht="25.5" customHeight="1">
      <x:c r="A1" s="4" t="str">
        <x:v>Sources and Audit</x:v>
      </x:c>
      <x:c r="B1" s="4" t="str">
        <x:v>Sources and Audit</x:v>
      </x:c>
      <x:c r="C1" s="4" t="str">
        <x:v>Sources and Audit</x:v>
      </x:c>
      <x:c r="D1" s="4" t="str">
        <x:v>Sources and Audit</x:v>
      </x:c>
      <x:c r="E1" s="4" t="str">
        <x:v>Sources and Audit</x:v>
      </x:c>
      <x:c r="F1" s="4" t="str">
        <x:v>Sources and Audit</x:v>
      </x:c>
      <x:c r="G1" s="4" t="str">
        <x:v>Sources and Audit</x:v>
      </x:c>
      <x:c r="H1" s="4" t="str">
        <x:v>Sources and Audit</x:v>
      </x:c>
    </x:row>
    <x:row r="3">
      <x:c r="A3" s="7" t="str">
        <x:v>Source</x:v>
      </x:c>
      <x:c r="B3" s="7" t="str">
        <x:v>URL or File</x:v>
      </x:c>
      <x:c r="C3" s="7" t="str">
        <x:v>Use</x:v>
      </x:c>
      <x:c r="D3" s="7" t="str">
        <x:v>Status</x:v>
      </x:c>
    </x:row>
    <x:row r="4">
      <x:c r="A4" s="11" t="str">
        <x:v>Oxycell OxyPro Sovereign</x:v>
      </x:c>
      <x:c r="B4" s="11" t="str">
        <x:v>https://www.oxycell.com/product/oxypro-sovereign/</x:v>
      </x:c>
      <x:c r="C4" s="11" t="str">
        <x:v>HBOT anchor equipment</x:v>
      </x:c>
      <x:c r="D4" s="11" t="str">
        <x:v>reference</x:v>
      </x:c>
    </x:row>
    <x:row r="5">
      <x:c r="A5" s="11" t="str">
        <x:v>Hyperbaric Pro exercise-ready chamber</x:v>
      </x:c>
      <x:c r="B5" s="11" t="str">
        <x:v>https://www.hyperbaricpro.com/product/exercise-ready-multiplace-hard-shell-hyperbaric-oxygen-chamber/</x:v>
      </x:c>
      <x:c r="C5" s="11" t="str">
        <x:v>EXS-64 chamber reference</x:v>
      </x:c>
      <x:c r="D5" s="11" t="str">
        <x:v>reference</x:v>
      </x:c>
    </x:row>
    <x:row r="6">
      <x:c r="A6" s="11" t="str">
        <x:v>Oxynergy2</x:v>
      </x:c>
      <x:c r="B6" s="11" t="str">
        <x:v>https://oxynergy2.com/</x:v>
      </x:c>
      <x:c r="C6" s="11" t="str">
        <x:v>Wellness lounge/service reference</x:v>
      </x:c>
      <x:c r="D6" s="11" t="str">
        <x:v>reference</x:v>
      </x:c>
    </x:row>
    <x:row r="7">
      <x:c r="A7" s="11" t="str">
        <x:v>True REST Alexandria</x:v>
      </x:c>
      <x:c r="B7" s="11" t="str">
        <x:v>https://truerest.com/locations/alexandria/</x:v>
      </x:c>
      <x:c r="C7" s="11" t="str">
        <x:v>Float, sauna, red light, cold plunge reference</x:v>
      </x:c>
      <x:c r="D7" s="11" t="str">
        <x:v>reference</x:v>
      </x:c>
    </x:row>
    <x:row r="8">
      <x:c r="A8" s="11" t="str">
        <x:v>VacuActiv</x:v>
      </x:c>
      <x:c r="B8" s="11" t="str">
        <x:v>https://vacuactiv.com/products/fitness-devices/</x:v>
      </x:c>
      <x:c r="C8" s="11" t="str">
        <x:v>Fitness device reference</x:v>
      </x:c>
      <x:c r="D8" s="11" t="str">
        <x:v>reference</x:v>
      </x:c>
    </x:row>
    <x:row r="9">
      <x:c r="A9" s="11" t="str">
        <x:v>Eleve Longevity Lounge</x:v>
      </x:c>
      <x:c r="B9" s="11" t="str">
        <x:v>https://elevelongevity.com/</x:v>
      </x:c>
      <x:c r="C9" s="11" t="str">
        <x:v>Modality/reference lounge</x:v>
      </x:c>
      <x:c r="D9" s="11" t="str">
        <x:v>reference</x:v>
      </x:c>
    </x:row>
    <x:row r="10">
      <x:c r="A10" s="11" t="str">
        <x:v>Maryland Business Express</x:v>
      </x:c>
      <x:c r="B10" s="11" t="str">
        <x:v>https://businessexpress.maryland.gov/start/register-a-business-in-maryland</x:v>
      </x:c>
      <x:c r="C10" s="11" t="str">
        <x:v>Legal filing workflow reference</x:v>
      </x:c>
      <x:c r="D10" s="11" t="str">
        <x:v>professional review</x:v>
      </x:c>
    </x:row>
    <x:row r="11">
      <x:c r="A11" s="11" t="str">
        <x:v>HHS HIPAA Privacy Rule</x:v>
      </x:c>
      <x:c r="B11" s="11" t="str">
        <x:v>https://www.hhs.gov/hipaa/for-professionals/privacy/laws-regulations/index.html</x:v>
      </x:c>
      <x:c r="C11" s="11" t="str">
        <x:v>Privacy compliance reference</x:v>
      </x:c>
      <x:c r="D11" s="11" t="str">
        <x:v>professional review</x:v>
      </x:c>
    </x:row>
    <x:row r="12">
      <x:c r="A12" s="11" t="str">
        <x:v>VYTAL source docs</x:v>
      </x:c>
      <x:c r="B12" s="11" t="str">
        <x:v>deliverables/source_copies</x:v>
      </x:c>
      <x:c r="C12" s="11" t="str">
        <x:v>Local source package</x:v>
      </x:c>
      <x:c r="D12" s="11" t="str">
        <x:v>available</x:v>
      </x:c>
    </x:row>
    <x:row r="13">
      <x:c r="A13" s="11" t="str">
        <x:v>Generated app</x:v>
      </x:c>
      <x:c r="B13" s="11" t="str">
        <x:v>src/app</x:v>
      </x:c>
      <x:c r="C13" s="11" t="str">
        <x:v>Prototype implementation</x:v>
      </x:c>
      <x:c r="D13" s="11" t="str">
        <x:v>available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 ht="25.5" customHeight="1">
      <x:c r="A1" s="4" t="str">
        <x:v>Quality Checks</x:v>
      </x:c>
      <x:c r="B1" s="4" t="str">
        <x:v>Quality Checks</x:v>
      </x:c>
      <x:c r="C1" s="4" t="str">
        <x:v>Quality Checks</x:v>
      </x:c>
      <x:c r="D1" s="4" t="str">
        <x:v>Quality Checks</x:v>
      </x:c>
      <x:c r="E1" s="4" t="str">
        <x:v>Quality Checks</x:v>
      </x:c>
      <x:c r="F1" s="4" t="str">
        <x:v>Quality Checks</x:v>
      </x:c>
      <x:c r="G1" s="4" t="str">
        <x:v>Quality Checks</x:v>
      </x:c>
      <x:c r="H1" s="4" t="str">
        <x:v>Quality Checks</x:v>
      </x:c>
    </x:row>
    <x:row r="3">
      <x:c r="A3" s="7" t="str">
        <x:v>Check</x:v>
      </x:c>
      <x:c r="B3" s="7" t="str">
        <x:v>Actual</x:v>
      </x:c>
      <x:c r="C3" s="7" t="str">
        <x:v>Expected</x:v>
      </x:c>
      <x:c r="D3" s="7" t="str">
        <x:v>Difference</x:v>
      </x:c>
      <x:c r="E3" s="7" t="str">
        <x:v>Tolerance</x:v>
      </x:c>
      <x:c r="F3" s="7" t="str">
        <x:v>Status</x:v>
      </x:c>
    </x:row>
    <x:row r="4">
      <x:c r="A4" s="11" t="str">
        <x:v>Quality gate score</x:v>
      </x:c>
      <x:c r="B4" s="11" t="n">
        <x:v>100</x:v>
      </x:c>
      <x:c r="C4" s="11" t="n">
        <x:v>97</x:v>
      </x:c>
      <x:c r="D4" s="11" t="n">
        <x:f>B4-C4</x:f>
        <x:v>3</x:v>
      </x:c>
      <x:c r="E4" s="11" t="n">
        <x:v>0</x:v>
      </x:c>
      <x:c r="F4" s="11" t="str">
        <x:f>IF(B4&gt;=C4,"OK","FAIL")</x:f>
        <x:v>OK</x:v>
      </x:c>
    </x:row>
    <x:row r="5">
      <x:c r="A5" s="11" t="str">
        <x:v>Vendor records</x:v>
      </x:c>
      <x:c r="B5" s="11" t="n">
        <x:v>4</x:v>
      </x:c>
      <x:c r="C5" s="11" t="n">
        <x:v>4</x:v>
      </x:c>
      <x:c r="D5" s="11" t="n">
        <x:f>B5-C5</x:f>
        <x:v>0</x:v>
      </x:c>
      <x:c r="E5" s="11" t="n">
        <x:v>0</x:v>
      </x:c>
      <x:c r="F5" s="11" t="str">
        <x:f>IF(B5&gt;=C5,"OK","FAIL")</x:f>
        <x:v>OK</x:v>
      </x:c>
    </x:row>
    <x:row r="6">
      <x:c r="A6" s="11" t="str">
        <x:v>Service records</x:v>
      </x:c>
      <x:c r="B6" s="11" t="n">
        <x:v>7</x:v>
      </x:c>
      <x:c r="C6" s="11" t="n">
        <x:v>6</x:v>
      </x:c>
      <x:c r="D6" s="11" t="n">
        <x:f>B6-C6</x:f>
        <x:v>1</x:v>
      </x:c>
      <x:c r="E6" s="11" t="n">
        <x:v>0</x:v>
      </x:c>
      <x:c r="F6" s="11" t="str">
        <x:f>IF(B6&gt;=C6,"OK","FAIL")</x:f>
        <x:v>OK</x:v>
      </x:c>
    </x:row>
    <x:row r="7">
      <x:c r="A7" s="11" t="str">
        <x:v>Social posts</x:v>
      </x:c>
      <x:c r="B7" s="11" t="n">
        <x:v>10</x:v>
      </x:c>
      <x:c r="C7" s="11" t="n">
        <x:v>10</x:v>
      </x:c>
      <x:c r="D7" s="11" t="n">
        <x:f>B7-C7</x:f>
        <x:v>0</x:v>
      </x:c>
      <x:c r="E7" s="11" t="n">
        <x:v>0</x:v>
      </x:c>
      <x:c r="F7" s="11" t="str">
        <x:f>IF(B7&gt;=C7,"OK","FAIL")</x:f>
        <x:v>OK</x:v>
      </x:c>
    </x:row>
    <x:row r="8">
      <x:c r="A8" s="11" t="str">
        <x:v>Membership MRR</x:v>
      </x:c>
      <x:c r="B8" s="12" t="n">
        <x:f>Revenue_Model!D7</x:f>
        <x:v>179700</x:v>
      </x:c>
      <x:c r="C8" s="12" t="n">
        <x:v>179700</x:v>
      </x:c>
      <x:c r="D8" s="12" t="n">
        <x:f>B8-C8</x:f>
        <x:v>0</x:v>
      </x:c>
      <x:c r="E8" s="11" t="n">
        <x:v>0</x:v>
      </x:c>
      <x:c r="F8" s="11" t="str">
        <x:f>IF(ABS(D8)&lt;=1,"OK","CHECK")</x:f>
        <x:v>OK</x:v>
      </x:c>
    </x:row>
    <x:row r="9">
      <x:c r="A9" s="11" t="str">
        <x:v>No live external mutation</x:v>
      </x:c>
      <x:c r="B9" s="11" t="n">
        <x:v>0</x:v>
      </x:c>
      <x:c r="C9" s="11" t="n">
        <x:v>0</x:v>
      </x:c>
      <x:c r="D9" s="11" t="n">
        <x:f>B9-C9</x:f>
        <x:v>0</x:v>
      </x:c>
      <x:c r="E9" s="11" t="n">
        <x:v>0</x:v>
      </x:c>
      <x:c r="F9" s="11" t="str">
        <x:f>IF(B9=C9,"OK","FAIL")</x:f>
        <x:v>OK</x:v>
      </x:c>
    </x:row>
    <x:row r="10">
      <x:c r="A10" s="11" t="str">
        <x:v>Model status</x:v>
      </x:c>
      <x:c r="B10" s="11" t="str"/>
      <x:c r="C10" s="11" t="str"/>
      <x:c r="D10" s="11" t="str"/>
      <x:c r="E10" s="11" t="str"/>
      <x:c r="F10" s="11" t="str">
        <x:f>IF(COUNTIF(F4:F9,"FAIL")=0,"OK","FAIL")</x:f>
        <x:v>OK</x:v>
      </x:c>
    </x:row>
  </x:sheetData>
  <x:mergeCells>
    <x:mergeCell ref="A1:H1"/>
  </x:mergeCells>
  <x:pageMargins left="0.7" right="0.7" top="0.75" bottom="0.75" header="0.3" footer="0.3"/>
</x:worksheet>
</file>